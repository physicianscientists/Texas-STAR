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tables/"/>
    </mc:Choice>
  </mc:AlternateContent>
  <xr:revisionPtr revIDLastSave="29" documentId="11_EE67FDCE8F79A8D366075C52F3EC523535B7B8D7" xr6:coauthVersionLast="47" xr6:coauthVersionMax="47" xr10:uidLastSave="{3B8C7E3B-B583-4E8B-ADD3-15E10BDCD116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B33" i="1"/>
</calcChain>
</file>

<file path=xl/sharedStrings.xml><?xml version="1.0" encoding="utf-8"?>
<sst xmlns="http://schemas.openxmlformats.org/spreadsheetml/2006/main" count="37" uniqueCount="37">
  <si>
    <t>Specialty</t>
  </si>
  <si>
    <t>Anesthesiology</t>
  </si>
  <si>
    <t>Child Neurology</t>
  </si>
  <si>
    <t>Dermatology</t>
  </si>
  <si>
    <t>Emergency Medicine</t>
  </si>
  <si>
    <t>Family Medicine</t>
  </si>
  <si>
    <t>Internal Medicine</t>
  </si>
  <si>
    <t>Internal Medicine-Emergency Medicine</t>
  </si>
  <si>
    <t>Internal Medicine-Pediatrics</t>
  </si>
  <si>
    <t>Internal Medicine-Preliminary</t>
  </si>
  <si>
    <t>Internal Medicine-Psychiatry</t>
  </si>
  <si>
    <t>Neurological Surgery</t>
  </si>
  <si>
    <t>Neurology</t>
  </si>
  <si>
    <t>Obstetrics and Gynecology</t>
  </si>
  <si>
    <t>Ophthalmology</t>
  </si>
  <si>
    <t>Orthopaedic Surgery</t>
  </si>
  <si>
    <t>Otolaryngology</t>
  </si>
  <si>
    <t>Pathology</t>
  </si>
  <si>
    <t>Pediatrics</t>
  </si>
  <si>
    <t>Pediatrics-Medical Genetics</t>
  </si>
  <si>
    <t>Physical Medicine and Rehabilitation</t>
  </si>
  <si>
    <t>Plastic Surgery</t>
  </si>
  <si>
    <t>Psychiatry</t>
  </si>
  <si>
    <t>Radiation Oncology</t>
  </si>
  <si>
    <t>Radiology-Diagnostic</t>
  </si>
  <si>
    <t>Radiology-Interventional</t>
  </si>
  <si>
    <t>Surgery</t>
  </si>
  <si>
    <t>Surgery-Preliminary</t>
  </si>
  <si>
    <t>Thoracic Surgery</t>
  </si>
  <si>
    <t>Transitional Year</t>
  </si>
  <si>
    <t>Urology</t>
  </si>
  <si>
    <t>Vascular Surgery</t>
  </si>
  <si>
    <t>Sums</t>
  </si>
  <si>
    <t>Matched</t>
  </si>
  <si>
    <t>Not Matched</t>
  </si>
  <si>
    <t>Total</t>
  </si>
  <si>
    <t>Match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</si>
</sst>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E33" sqref="A1:E33"/>
    </sheetView>
  </sheetViews>
  <sheetFormatPr defaultRowHeight="15" x14ac:dyDescent="0.25"/>
  <cols>
    <col min="1" max="1" width="36.7109375" bestFit="1" customWidth="1"/>
    <col min="2" max="2" width="11" customWidth="1"/>
    <col min="3" max="3" width="15.42578125" customWidth="1"/>
    <col min="4" max="4" width="13.7109375" customWidth="1"/>
    <col min="5" max="5" width="12.5703125" customWidth="1"/>
  </cols>
  <sheetData>
    <row r="1" spans="1:5" s="1" customFormat="1" x14ac:dyDescent="0.25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5">
      <c r="A2" t="s">
        <v>1</v>
      </c>
      <c r="B2">
        <v>47</v>
      </c>
      <c r="C2">
        <v>2</v>
      </c>
      <c r="D2">
        <v>49</v>
      </c>
      <c r="E2" s="4">
        <v>95.918367346938766</v>
      </c>
    </row>
    <row r="3" spans="1:5" x14ac:dyDescent="0.25">
      <c r="A3" t="s">
        <v>2</v>
      </c>
      <c r="B3">
        <v>29</v>
      </c>
      <c r="C3">
        <v>0</v>
      </c>
      <c r="D3">
        <v>29</v>
      </c>
      <c r="E3">
        <v>100</v>
      </c>
    </row>
    <row r="4" spans="1:5" x14ac:dyDescent="0.25">
      <c r="A4" t="s">
        <v>3</v>
      </c>
      <c r="B4">
        <v>35</v>
      </c>
      <c r="C4">
        <v>6</v>
      </c>
      <c r="D4">
        <v>41</v>
      </c>
      <c r="E4" s="4">
        <v>85.365853658536579</v>
      </c>
    </row>
    <row r="5" spans="1:5" x14ac:dyDescent="0.25">
      <c r="A5" t="s">
        <v>4</v>
      </c>
      <c r="B5">
        <v>31</v>
      </c>
      <c r="C5">
        <v>4</v>
      </c>
      <c r="D5">
        <v>35</v>
      </c>
      <c r="E5" s="4">
        <v>88.571428571428569</v>
      </c>
    </row>
    <row r="6" spans="1:5" x14ac:dyDescent="0.25">
      <c r="A6" t="s">
        <v>5</v>
      </c>
      <c r="B6">
        <v>18</v>
      </c>
      <c r="C6">
        <v>2</v>
      </c>
      <c r="D6">
        <v>20</v>
      </c>
      <c r="E6">
        <v>90</v>
      </c>
    </row>
    <row r="7" spans="1:5" x14ac:dyDescent="0.25">
      <c r="A7" t="s">
        <v>6</v>
      </c>
      <c r="B7">
        <v>254</v>
      </c>
      <c r="C7">
        <v>23</v>
      </c>
      <c r="D7">
        <v>277</v>
      </c>
      <c r="E7" s="4">
        <v>91.696750902527086</v>
      </c>
    </row>
    <row r="8" spans="1:5" x14ac:dyDescent="0.25">
      <c r="A8" s="2" t="s">
        <v>7</v>
      </c>
      <c r="B8" s="2">
        <v>1</v>
      </c>
      <c r="C8" s="2">
        <v>1</v>
      </c>
      <c r="D8" s="2">
        <v>2</v>
      </c>
      <c r="E8" s="2">
        <v>50</v>
      </c>
    </row>
    <row r="9" spans="1:5" x14ac:dyDescent="0.25">
      <c r="A9" t="s">
        <v>8</v>
      </c>
      <c r="B9">
        <v>10</v>
      </c>
      <c r="C9">
        <v>2</v>
      </c>
      <c r="D9">
        <v>12</v>
      </c>
      <c r="E9" s="4">
        <v>83.333333333333343</v>
      </c>
    </row>
    <row r="10" spans="1:5" x14ac:dyDescent="0.25">
      <c r="A10" s="2" t="s">
        <v>9</v>
      </c>
      <c r="B10" s="2">
        <v>32</v>
      </c>
      <c r="C10" s="2">
        <v>25</v>
      </c>
      <c r="D10" s="2">
        <v>57</v>
      </c>
      <c r="E10" s="5">
        <v>56.140350877192979</v>
      </c>
    </row>
    <row r="11" spans="1:5" x14ac:dyDescent="0.25">
      <c r="A11" s="2" t="s">
        <v>10</v>
      </c>
      <c r="B11" s="2">
        <v>0</v>
      </c>
      <c r="C11" s="2">
        <v>1</v>
      </c>
      <c r="D11" s="2">
        <v>1</v>
      </c>
      <c r="E11" s="2">
        <v>0</v>
      </c>
    </row>
    <row r="12" spans="1:5" x14ac:dyDescent="0.25">
      <c r="A12" t="s">
        <v>11</v>
      </c>
      <c r="B12">
        <v>29</v>
      </c>
      <c r="C12">
        <v>3</v>
      </c>
      <c r="D12">
        <v>32</v>
      </c>
      <c r="E12" s="4">
        <v>90.625</v>
      </c>
    </row>
    <row r="13" spans="1:5" x14ac:dyDescent="0.25">
      <c r="A13" t="s">
        <v>12</v>
      </c>
      <c r="B13">
        <v>81</v>
      </c>
      <c r="C13">
        <v>3</v>
      </c>
      <c r="D13">
        <v>84</v>
      </c>
      <c r="E13" s="4">
        <v>96.428571428571431</v>
      </c>
    </row>
    <row r="14" spans="1:5" x14ac:dyDescent="0.25">
      <c r="A14" t="s">
        <v>13</v>
      </c>
      <c r="B14">
        <v>28</v>
      </c>
      <c r="C14">
        <v>6</v>
      </c>
      <c r="D14">
        <v>34</v>
      </c>
      <c r="E14" s="4">
        <v>82.35294117647058</v>
      </c>
    </row>
    <row r="15" spans="1:5" x14ac:dyDescent="0.25">
      <c r="A15" t="s">
        <v>14</v>
      </c>
      <c r="B15">
        <v>20</v>
      </c>
      <c r="C15">
        <v>2</v>
      </c>
      <c r="D15">
        <v>22</v>
      </c>
      <c r="E15" s="4">
        <v>90.909090909090907</v>
      </c>
    </row>
    <row r="16" spans="1:5" x14ac:dyDescent="0.25">
      <c r="A16" t="s">
        <v>15</v>
      </c>
      <c r="B16">
        <v>11</v>
      </c>
      <c r="C16">
        <v>1</v>
      </c>
      <c r="D16">
        <v>12</v>
      </c>
      <c r="E16" s="4">
        <v>91.666666666666657</v>
      </c>
    </row>
    <row r="17" spans="1:5" x14ac:dyDescent="0.25">
      <c r="A17" t="s">
        <v>16</v>
      </c>
      <c r="B17">
        <v>13</v>
      </c>
      <c r="C17">
        <v>1</v>
      </c>
      <c r="D17">
        <v>14</v>
      </c>
      <c r="E17" s="4">
        <v>92.857142857142861</v>
      </c>
    </row>
    <row r="18" spans="1:5" x14ac:dyDescent="0.25">
      <c r="A18" t="s">
        <v>17</v>
      </c>
      <c r="B18">
        <v>69</v>
      </c>
      <c r="C18">
        <v>7</v>
      </c>
      <c r="D18">
        <v>76</v>
      </c>
      <c r="E18" s="4">
        <v>90.789473684210535</v>
      </c>
    </row>
    <row r="19" spans="1:5" x14ac:dyDescent="0.25">
      <c r="A19" t="s">
        <v>18</v>
      </c>
      <c r="B19">
        <v>125</v>
      </c>
      <c r="C19">
        <v>15</v>
      </c>
      <c r="D19">
        <v>140</v>
      </c>
      <c r="E19" s="4">
        <v>89.285714285714292</v>
      </c>
    </row>
    <row r="20" spans="1:5" x14ac:dyDescent="0.25">
      <c r="A20" s="2" t="s">
        <v>19</v>
      </c>
      <c r="B20" s="2">
        <v>11</v>
      </c>
      <c r="C20" s="2">
        <v>4</v>
      </c>
      <c r="D20" s="2">
        <v>15</v>
      </c>
      <c r="E20" s="5">
        <v>73.333333333333329</v>
      </c>
    </row>
    <row r="21" spans="1:5" x14ac:dyDescent="0.25">
      <c r="A21" t="s">
        <v>20</v>
      </c>
      <c r="B21">
        <v>4</v>
      </c>
      <c r="C21">
        <v>3</v>
      </c>
      <c r="D21">
        <v>7</v>
      </c>
      <c r="E21" s="4">
        <v>57.142857142857139</v>
      </c>
    </row>
    <row r="22" spans="1:5" x14ac:dyDescent="0.25">
      <c r="A22" t="s">
        <v>21</v>
      </c>
      <c r="B22">
        <v>6</v>
      </c>
      <c r="C22">
        <v>3</v>
      </c>
      <c r="D22">
        <v>9</v>
      </c>
      <c r="E22" s="4">
        <v>66.666666666666657</v>
      </c>
    </row>
    <row r="23" spans="1:5" x14ac:dyDescent="0.25">
      <c r="A23" t="s">
        <v>22</v>
      </c>
      <c r="B23">
        <v>72</v>
      </c>
      <c r="C23">
        <v>10</v>
      </c>
      <c r="D23">
        <v>82</v>
      </c>
      <c r="E23" s="4">
        <v>87.804878048780495</v>
      </c>
    </row>
    <row r="24" spans="1:5" x14ac:dyDescent="0.25">
      <c r="A24" t="s">
        <v>23</v>
      </c>
      <c r="B24">
        <v>34</v>
      </c>
      <c r="C24">
        <v>5</v>
      </c>
      <c r="D24">
        <v>39</v>
      </c>
      <c r="E24" s="4">
        <v>87.179487179487182</v>
      </c>
    </row>
    <row r="25" spans="1:5" x14ac:dyDescent="0.25">
      <c r="A25" t="s">
        <v>24</v>
      </c>
      <c r="B25">
        <v>36</v>
      </c>
      <c r="C25">
        <v>4</v>
      </c>
      <c r="D25">
        <v>40</v>
      </c>
      <c r="E25">
        <v>90</v>
      </c>
    </row>
    <row r="26" spans="1:5" x14ac:dyDescent="0.25">
      <c r="A26" t="s">
        <v>25</v>
      </c>
      <c r="B26">
        <v>8</v>
      </c>
      <c r="C26">
        <v>3</v>
      </c>
      <c r="D26">
        <v>11</v>
      </c>
      <c r="E26" s="4">
        <v>72.727272727272734</v>
      </c>
    </row>
    <row r="27" spans="1:5" x14ac:dyDescent="0.25">
      <c r="A27" t="s">
        <v>26</v>
      </c>
      <c r="B27">
        <v>33</v>
      </c>
      <c r="C27">
        <v>7</v>
      </c>
      <c r="D27">
        <v>40</v>
      </c>
      <c r="E27">
        <v>82.5</v>
      </c>
    </row>
    <row r="28" spans="1:5" x14ac:dyDescent="0.25">
      <c r="A28" s="2" t="s">
        <v>27</v>
      </c>
      <c r="B28" s="2">
        <v>3</v>
      </c>
      <c r="C28" s="2">
        <v>3</v>
      </c>
      <c r="D28" s="2">
        <v>6</v>
      </c>
      <c r="E28" s="2">
        <v>50</v>
      </c>
    </row>
    <row r="29" spans="1:5" x14ac:dyDescent="0.25">
      <c r="A29" t="s">
        <v>28</v>
      </c>
      <c r="B29">
        <v>4</v>
      </c>
      <c r="C29">
        <v>2</v>
      </c>
      <c r="D29">
        <v>6</v>
      </c>
      <c r="E29" s="4">
        <v>66.666666666666657</v>
      </c>
    </row>
    <row r="30" spans="1:5" x14ac:dyDescent="0.25">
      <c r="A30" s="2" t="s">
        <v>29</v>
      </c>
      <c r="B30" s="2">
        <v>19</v>
      </c>
      <c r="C30" s="2">
        <v>16</v>
      </c>
      <c r="D30" s="2">
        <v>35</v>
      </c>
      <c r="E30" s="5">
        <v>54.285714285714278</v>
      </c>
    </row>
    <row r="31" spans="1:5" x14ac:dyDescent="0.25">
      <c r="A31" t="s">
        <v>30</v>
      </c>
      <c r="B31">
        <v>11</v>
      </c>
      <c r="C31">
        <v>0</v>
      </c>
      <c r="D31">
        <v>11</v>
      </c>
      <c r="E31">
        <v>100</v>
      </c>
    </row>
    <row r="32" spans="1:5" x14ac:dyDescent="0.25">
      <c r="A32" t="s">
        <v>31</v>
      </c>
      <c r="B32">
        <v>1</v>
      </c>
      <c r="C32">
        <v>0</v>
      </c>
      <c r="D32">
        <v>1</v>
      </c>
      <c r="E32">
        <v>100</v>
      </c>
    </row>
    <row r="33" spans="1:4" x14ac:dyDescent="0.25">
      <c r="A33" s="3" t="s">
        <v>32</v>
      </c>
      <c r="B33" s="3">
        <f>SUM(B2:B32)</f>
        <v>1075</v>
      </c>
      <c r="C33" s="3">
        <f>SUM(C2:C32)</f>
        <v>164</v>
      </c>
      <c r="D33" s="3">
        <f>SUM(D2:D32)</f>
        <v>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Brock, Daniel Christopher</cp:lastModifiedBy>
  <dcterms:created xsi:type="dcterms:W3CDTF">2026-01-21T05:51:23Z</dcterms:created>
  <dcterms:modified xsi:type="dcterms:W3CDTF">2026-01-21T06:02:18Z</dcterms:modified>
</cp:coreProperties>
</file>