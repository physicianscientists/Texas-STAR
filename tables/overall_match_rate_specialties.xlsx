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28" documentId="11_A3031DC28F79A8D366075C52F37BD2727A445ED0" xr6:coauthVersionLast="47" xr6:coauthVersionMax="47" xr10:uidLastSave="{B7242BE9-A021-41C6-A72D-D19B79FD2836}"/>
  <bookViews>
    <workbookView minimized="1" xWindow="180" yWindow="315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D42" i="1"/>
</calcChain>
</file>

<file path=xl/sharedStrings.xml><?xml version="1.0" encoding="utf-8"?>
<sst xmlns="http://schemas.openxmlformats.org/spreadsheetml/2006/main" count="39" uniqueCount="39">
  <si>
    <t>Specialty</t>
  </si>
  <si>
    <t>matched</t>
  </si>
  <si>
    <t>not_matched</t>
  </si>
  <si>
    <t>total</t>
  </si>
  <si>
    <t>match_rate</t>
  </si>
  <si>
    <t>Anesthesiology</t>
  </si>
  <si>
    <t>Child Neurology</t>
  </si>
  <si>
    <t>Dermatology</t>
  </si>
  <si>
    <t>Emergency Medicine</t>
  </si>
  <si>
    <t>Family Medicine</t>
  </si>
  <si>
    <t>Internal Medicine</t>
  </si>
  <si>
    <t>Internal Medicine-Emergency Medicine</t>
  </si>
  <si>
    <t>Internal Medicine-Pediatrics</t>
  </si>
  <si>
    <t>Internal Medicine-Preliminary</t>
  </si>
  <si>
    <t>Internal Medicine-Psychiatry</t>
  </si>
  <si>
    <t>Neurodevelopmental Disabilities</t>
  </si>
  <si>
    <t>Neurological Surgery</t>
  </si>
  <si>
    <t>Neurology</t>
  </si>
  <si>
    <t>Obstetrics and Gynecology</t>
  </si>
  <si>
    <t>Ophthalmology</t>
  </si>
  <si>
    <t>Orthopaedic Surgery</t>
  </si>
  <si>
    <t>Otolaryngology</t>
  </si>
  <si>
    <t>Pathology</t>
  </si>
  <si>
    <t>Pediatrics</t>
  </si>
  <si>
    <t>Pediatrics-Medical Genetics</t>
  </si>
  <si>
    <t>Pediatrics-Psychiatry-Child and Adolescent Psychiatry</t>
  </si>
  <si>
    <t>Physical Medicine and Rehabilitation</t>
  </si>
  <si>
    <t>Plastic Surgery</t>
  </si>
  <si>
    <t>Preventive Medicine</t>
  </si>
  <si>
    <t>Psychiatry</t>
  </si>
  <si>
    <t>Radiation Oncology</t>
  </si>
  <si>
    <t>Radiology-Diagnostic</t>
  </si>
  <si>
    <t>Radiology-Interventional</t>
  </si>
  <si>
    <t>Surgery</t>
  </si>
  <si>
    <t>Surgery-Preliminary</t>
  </si>
  <si>
    <t>Thoracic Surgery</t>
  </si>
  <si>
    <t>Transitional Year</t>
  </si>
  <si>
    <t>Urology</t>
  </si>
  <si>
    <t>Vascular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</si>
</sst>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H20" sqref="H20"/>
    </sheetView>
  </sheetViews>
  <sheetFormatPr defaultRowHeight="15" x14ac:dyDescent="0.25"/>
  <cols>
    <col min="1" max="1" width="49.5703125" bestFit="1" customWidth="1"/>
    <col min="2" max="2" width="8.7109375" bestFit="1" customWidth="1"/>
    <col min="3" max="3" width="15.140625" customWidth="1"/>
    <col min="4" max="4" width="12.85546875" customWidth="1"/>
    <col min="5" max="5" width="16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2039</v>
      </c>
      <c r="C2">
        <v>199</v>
      </c>
      <c r="D2">
        <v>2238</v>
      </c>
      <c r="E2">
        <v>91.108132260947272</v>
      </c>
    </row>
    <row r="3" spans="1:5" x14ac:dyDescent="0.25">
      <c r="A3" t="s">
        <v>6</v>
      </c>
      <c r="B3">
        <v>241</v>
      </c>
      <c r="C3">
        <v>10</v>
      </c>
      <c r="D3">
        <v>251</v>
      </c>
      <c r="E3">
        <v>96.01593625498009</v>
      </c>
    </row>
    <row r="4" spans="1:5" x14ac:dyDescent="0.25">
      <c r="A4" t="s">
        <v>7</v>
      </c>
      <c r="B4">
        <v>594</v>
      </c>
      <c r="C4">
        <v>116</v>
      </c>
      <c r="D4">
        <v>710</v>
      </c>
      <c r="E4">
        <v>83.661971830985919</v>
      </c>
    </row>
    <row r="5" spans="1:5" x14ac:dyDescent="0.25">
      <c r="A5" t="s">
        <v>8</v>
      </c>
      <c r="B5">
        <v>2787</v>
      </c>
      <c r="C5">
        <v>271</v>
      </c>
      <c r="D5">
        <v>3058</v>
      </c>
      <c r="E5">
        <v>91.137998691955531</v>
      </c>
    </row>
    <row r="6" spans="1:5" x14ac:dyDescent="0.25">
      <c r="A6" t="s">
        <v>9</v>
      </c>
      <c r="B6">
        <v>2611</v>
      </c>
      <c r="C6">
        <v>282</v>
      </c>
      <c r="D6">
        <v>2893</v>
      </c>
      <c r="E6">
        <v>90.252333218112696</v>
      </c>
    </row>
    <row r="7" spans="1:5" x14ac:dyDescent="0.25">
      <c r="A7" t="s">
        <v>10</v>
      </c>
      <c r="B7">
        <v>5487</v>
      </c>
      <c r="C7">
        <v>461</v>
      </c>
      <c r="D7">
        <v>5948</v>
      </c>
      <c r="E7">
        <v>92.249495628782782</v>
      </c>
    </row>
    <row r="8" spans="1:5" x14ac:dyDescent="0.25">
      <c r="A8" t="s">
        <v>12</v>
      </c>
      <c r="B8">
        <v>697</v>
      </c>
      <c r="C8">
        <v>77</v>
      </c>
      <c r="D8">
        <v>774</v>
      </c>
      <c r="E8">
        <v>90.05167958656331</v>
      </c>
    </row>
    <row r="9" spans="1:5" x14ac:dyDescent="0.25">
      <c r="A9" t="s">
        <v>16</v>
      </c>
      <c r="B9">
        <v>292</v>
      </c>
      <c r="C9">
        <v>44</v>
      </c>
      <c r="D9">
        <v>336</v>
      </c>
      <c r="E9">
        <v>86.904761904761912</v>
      </c>
    </row>
    <row r="10" spans="1:5" x14ac:dyDescent="0.25">
      <c r="A10" t="s">
        <v>17</v>
      </c>
      <c r="B10">
        <v>853</v>
      </c>
      <c r="C10">
        <v>49</v>
      </c>
      <c r="D10">
        <v>902</v>
      </c>
      <c r="E10">
        <v>94.567627494456758</v>
      </c>
    </row>
    <row r="11" spans="1:5" x14ac:dyDescent="0.25">
      <c r="A11" t="s">
        <v>18</v>
      </c>
      <c r="B11">
        <v>2187</v>
      </c>
      <c r="C11">
        <v>307</v>
      </c>
      <c r="D11">
        <v>2494</v>
      </c>
      <c r="E11">
        <v>87.690457097032876</v>
      </c>
    </row>
    <row r="12" spans="1:5" x14ac:dyDescent="0.25">
      <c r="A12" t="s">
        <v>19</v>
      </c>
      <c r="B12">
        <v>682</v>
      </c>
      <c r="C12">
        <v>90</v>
      </c>
      <c r="D12">
        <v>772</v>
      </c>
      <c r="E12">
        <v>88.341968911917107</v>
      </c>
    </row>
    <row r="13" spans="1:5" x14ac:dyDescent="0.25">
      <c r="A13" t="s">
        <v>20</v>
      </c>
      <c r="B13">
        <v>1174</v>
      </c>
      <c r="C13">
        <v>219</v>
      </c>
      <c r="D13">
        <v>1393</v>
      </c>
      <c r="E13">
        <v>84.278535534816939</v>
      </c>
    </row>
    <row r="14" spans="1:5" x14ac:dyDescent="0.25">
      <c r="A14" t="s">
        <v>21</v>
      </c>
      <c r="B14">
        <v>568</v>
      </c>
      <c r="C14">
        <v>122</v>
      </c>
      <c r="D14">
        <v>690</v>
      </c>
      <c r="E14">
        <v>82.318840579710141</v>
      </c>
    </row>
    <row r="15" spans="1:5" x14ac:dyDescent="0.25">
      <c r="A15" t="s">
        <v>22</v>
      </c>
      <c r="B15">
        <v>367</v>
      </c>
      <c r="C15">
        <v>35</v>
      </c>
      <c r="D15">
        <v>402</v>
      </c>
      <c r="E15">
        <v>91.293532338308452</v>
      </c>
    </row>
    <row r="16" spans="1:5" x14ac:dyDescent="0.25">
      <c r="A16" t="s">
        <v>23</v>
      </c>
      <c r="B16">
        <v>3595</v>
      </c>
      <c r="C16">
        <v>264</v>
      </c>
      <c r="D16">
        <v>3859</v>
      </c>
      <c r="E16">
        <v>93.158849442860841</v>
      </c>
    </row>
    <row r="17" spans="1:5" x14ac:dyDescent="0.25">
      <c r="A17" t="s">
        <v>26</v>
      </c>
      <c r="B17">
        <v>414</v>
      </c>
      <c r="C17">
        <v>59</v>
      </c>
      <c r="D17">
        <v>473</v>
      </c>
      <c r="E17">
        <v>87.526427061310784</v>
      </c>
    </row>
    <row r="18" spans="1:5" x14ac:dyDescent="0.25">
      <c r="A18" t="s">
        <v>27</v>
      </c>
      <c r="B18">
        <v>282</v>
      </c>
      <c r="C18">
        <v>81</v>
      </c>
      <c r="D18">
        <v>363</v>
      </c>
      <c r="E18">
        <v>77.685950413223139</v>
      </c>
    </row>
    <row r="19" spans="1:5" x14ac:dyDescent="0.25">
      <c r="A19" t="s">
        <v>29</v>
      </c>
      <c r="B19">
        <v>1755</v>
      </c>
      <c r="C19">
        <v>240</v>
      </c>
      <c r="D19">
        <v>1995</v>
      </c>
      <c r="E19">
        <v>87.969924812030072</v>
      </c>
    </row>
    <row r="20" spans="1:5" x14ac:dyDescent="0.25">
      <c r="A20" t="s">
        <v>30</v>
      </c>
      <c r="B20">
        <v>180</v>
      </c>
      <c r="C20">
        <v>14</v>
      </c>
      <c r="D20">
        <v>194</v>
      </c>
      <c r="E20">
        <v>92.783505154639172</v>
      </c>
    </row>
    <row r="21" spans="1:5" x14ac:dyDescent="0.25">
      <c r="A21" t="s">
        <v>31</v>
      </c>
      <c r="B21">
        <v>1103</v>
      </c>
      <c r="C21">
        <v>195</v>
      </c>
      <c r="D21">
        <v>1298</v>
      </c>
      <c r="E21">
        <v>84.976887519260401</v>
      </c>
    </row>
    <row r="22" spans="1:5" x14ac:dyDescent="0.25">
      <c r="A22" t="s">
        <v>32</v>
      </c>
      <c r="B22">
        <v>218</v>
      </c>
      <c r="C22">
        <v>63</v>
      </c>
      <c r="D22">
        <v>281</v>
      </c>
      <c r="E22">
        <v>77.580071174377224</v>
      </c>
    </row>
    <row r="23" spans="1:5" x14ac:dyDescent="0.25">
      <c r="A23" t="s">
        <v>33</v>
      </c>
      <c r="B23">
        <v>1720</v>
      </c>
      <c r="C23">
        <v>302</v>
      </c>
      <c r="D23">
        <v>2022</v>
      </c>
      <c r="E23">
        <v>85.06429277942631</v>
      </c>
    </row>
    <row r="24" spans="1:5" x14ac:dyDescent="0.25">
      <c r="A24" t="s">
        <v>35</v>
      </c>
      <c r="B24">
        <v>58</v>
      </c>
      <c r="C24">
        <v>39</v>
      </c>
      <c r="D24">
        <v>97</v>
      </c>
      <c r="E24">
        <v>59.793814432989691</v>
      </c>
    </row>
    <row r="25" spans="1:5" x14ac:dyDescent="0.25">
      <c r="A25" t="s">
        <v>37</v>
      </c>
      <c r="B25">
        <v>529</v>
      </c>
      <c r="C25">
        <v>67</v>
      </c>
      <c r="D25">
        <v>596</v>
      </c>
      <c r="E25">
        <v>88.758389261744966</v>
      </c>
    </row>
    <row r="26" spans="1:5" x14ac:dyDescent="0.25">
      <c r="A26" t="s">
        <v>38</v>
      </c>
      <c r="B26">
        <v>97</v>
      </c>
      <c r="C26">
        <v>24</v>
      </c>
      <c r="D26">
        <v>121</v>
      </c>
      <c r="E26">
        <v>80.165289256198349</v>
      </c>
    </row>
    <row r="31" spans="1:5" x14ac:dyDescent="0.25">
      <c r="A31" s="2" t="s">
        <v>11</v>
      </c>
      <c r="B31">
        <v>25</v>
      </c>
      <c r="C31">
        <v>37</v>
      </c>
      <c r="D31">
        <v>62</v>
      </c>
      <c r="E31">
        <v>40.322580645161288</v>
      </c>
    </row>
    <row r="32" spans="1:5" x14ac:dyDescent="0.25">
      <c r="A32" s="2" t="s">
        <v>13</v>
      </c>
      <c r="B32">
        <v>463</v>
      </c>
      <c r="C32">
        <v>506</v>
      </c>
      <c r="D32">
        <v>969</v>
      </c>
      <c r="E32">
        <v>47.781217750258001</v>
      </c>
    </row>
    <row r="33" spans="1:5" x14ac:dyDescent="0.25">
      <c r="A33" s="2" t="s">
        <v>14</v>
      </c>
      <c r="B33">
        <v>30</v>
      </c>
      <c r="C33">
        <v>31</v>
      </c>
      <c r="D33">
        <v>61</v>
      </c>
      <c r="E33">
        <v>49.180327868852459</v>
      </c>
    </row>
    <row r="34" spans="1:5" x14ac:dyDescent="0.25">
      <c r="A34" s="2" t="s">
        <v>15</v>
      </c>
      <c r="B34">
        <v>3</v>
      </c>
      <c r="C34">
        <v>0</v>
      </c>
      <c r="D34">
        <v>3</v>
      </c>
      <c r="E34">
        <v>100</v>
      </c>
    </row>
    <row r="35" spans="1:5" x14ac:dyDescent="0.25">
      <c r="A35" s="2" t="s">
        <v>24</v>
      </c>
      <c r="B35">
        <v>26</v>
      </c>
      <c r="C35">
        <v>7</v>
      </c>
      <c r="D35">
        <v>33</v>
      </c>
      <c r="E35">
        <v>78.787878787878782</v>
      </c>
    </row>
    <row r="36" spans="1:5" x14ac:dyDescent="0.25">
      <c r="A36" s="2" t="s">
        <v>25</v>
      </c>
      <c r="B36">
        <v>31</v>
      </c>
      <c r="C36">
        <v>32</v>
      </c>
      <c r="D36">
        <v>63</v>
      </c>
      <c r="E36">
        <v>49.206349206349202</v>
      </c>
    </row>
    <row r="37" spans="1:5" x14ac:dyDescent="0.25">
      <c r="A37" s="2" t="s">
        <v>28</v>
      </c>
      <c r="B37">
        <v>1</v>
      </c>
      <c r="C37">
        <v>0</v>
      </c>
      <c r="D37">
        <v>1</v>
      </c>
      <c r="E37">
        <v>100</v>
      </c>
    </row>
    <row r="38" spans="1:5" x14ac:dyDescent="0.25">
      <c r="A38" s="2" t="s">
        <v>34</v>
      </c>
      <c r="B38">
        <v>104</v>
      </c>
      <c r="C38">
        <v>65</v>
      </c>
      <c r="D38">
        <v>169</v>
      </c>
      <c r="E38">
        <v>61.53846153846154</v>
      </c>
    </row>
    <row r="39" spans="1:5" x14ac:dyDescent="0.25">
      <c r="A39" s="2" t="s">
        <v>36</v>
      </c>
      <c r="B39">
        <v>380</v>
      </c>
      <c r="C39">
        <v>397</v>
      </c>
      <c r="D39">
        <v>777</v>
      </c>
      <c r="E39">
        <v>48.906048906048902</v>
      </c>
    </row>
    <row r="42" spans="1:5" x14ac:dyDescent="0.25">
      <c r="D42">
        <f>SUM(D31:D39)</f>
        <v>2138</v>
      </c>
    </row>
    <row r="43" spans="1:5" x14ac:dyDescent="0.25">
      <c r="D43">
        <f>D42/SUM(D2:D39)</f>
        <v>5.8901316876962921E-2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2026-01-21T05:45:46Z</dcterms:created>
  <dcterms:modified xsi:type="dcterms:W3CDTF">2026-01-21T05:50:35Z</dcterms:modified>
</cp:coreProperties>
</file>